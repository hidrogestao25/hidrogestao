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isão de Pagamentos" sheetId="1" state="visible" r:id="rId1"/>
    <sheet name="Por Coordenador" sheetId="2" state="visible" r:id="rId2"/>
    <sheet name="Por Projeto" sheetId="3" state="visible" r:id="rId3"/>
    <sheet name="Acumula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Valores Previsto por Coordenador (por Data)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'Por Coordenador'!B1</f>
            </strRef>
          </tx>
          <spPr>
            <a:ln>
              <a:prstDash val="solid"/>
            </a:ln>
          </spPr>
          <cat>
            <numRef>
              <f>'Por Coordenador'!$A$2:$A$4</f>
            </numRef>
          </cat>
          <val>
            <numRef>
              <f>'Por Coordenador'!$B$2:$B$4</f>
            </numRef>
          </val>
        </ser>
        <ser>
          <idx val="1"/>
          <order val="1"/>
          <tx>
            <strRef>
              <f>'Por Coordenador'!C1</f>
            </strRef>
          </tx>
          <spPr>
            <a:ln>
              <a:prstDash val="solid"/>
            </a:ln>
          </spPr>
          <cat>
            <numRef>
              <f>'Por Coordenador'!$A$2:$A$4</f>
            </numRef>
          </cat>
          <val>
            <numRef>
              <f>'Por Coordenador'!$C$2:$C$4</f>
            </numRef>
          </val>
        </ser>
        <ser>
          <idx val="2"/>
          <order val="2"/>
          <tx>
            <strRef>
              <f>'Por Coordenador'!D1</f>
            </strRef>
          </tx>
          <spPr>
            <a:ln>
              <a:prstDash val="solid"/>
            </a:ln>
          </spPr>
          <cat>
            <numRef>
              <f>'Por Coordenador'!$A$2:$A$4</f>
            </numRef>
          </cat>
          <val>
            <numRef>
              <f>'Por Coordenador'!$D$2:$D$4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Data Prevista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Valor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Valores Previsto por Projeto (por Data)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'Por Projeto'!B1</f>
            </strRef>
          </tx>
          <spPr>
            <a:ln>
              <a:prstDash val="solid"/>
            </a:ln>
          </spPr>
          <cat>
            <numRef>
              <f>'Por Projeto'!$A$2:$A$4</f>
            </numRef>
          </cat>
          <val>
            <numRef>
              <f>'Por Projeto'!$B$2:$B$4</f>
            </numRef>
          </val>
        </ser>
        <ser>
          <idx val="1"/>
          <order val="1"/>
          <tx>
            <strRef>
              <f>'Por Projeto'!C1</f>
            </strRef>
          </tx>
          <spPr>
            <a:ln>
              <a:prstDash val="solid"/>
            </a:ln>
          </spPr>
          <cat>
            <numRef>
              <f>'Por Projeto'!$A$2:$A$4</f>
            </numRef>
          </cat>
          <val>
            <numRef>
              <f>'Por Projeto'!$C$2:$C$4</f>
            </numRef>
          </val>
        </ser>
        <ser>
          <idx val="2"/>
          <order val="2"/>
          <tx>
            <strRef>
              <f>'Por Projeto'!D1</f>
            </strRef>
          </tx>
          <spPr>
            <a:ln>
              <a:prstDash val="solid"/>
            </a:ln>
          </spPr>
          <cat>
            <numRef>
              <f>'Por Projeto'!$A$2:$A$4</f>
            </numRef>
          </cat>
          <val>
            <numRef>
              <f>'Por Projeto'!$D$2:$D$4</f>
            </numRef>
          </val>
        </ser>
        <ser>
          <idx val="3"/>
          <order val="3"/>
          <tx>
            <strRef>
              <f>'Por Projeto'!E1</f>
            </strRef>
          </tx>
          <spPr>
            <a:ln>
              <a:prstDash val="solid"/>
            </a:ln>
          </spPr>
          <cat>
            <numRef>
              <f>'Por Projeto'!$A$2:$A$4</f>
            </numRef>
          </cat>
          <val>
            <numRef>
              <f>'Por Projeto'!$E$2:$E$4</f>
            </numRef>
          </val>
        </ser>
        <ser>
          <idx val="4"/>
          <order val="4"/>
          <tx>
            <strRef>
              <f>'Por Projeto'!F1</f>
            </strRef>
          </tx>
          <spPr>
            <a:ln>
              <a:prstDash val="solid"/>
            </a:ln>
          </spPr>
          <cat>
            <numRef>
              <f>'Por Projeto'!$A$2:$A$4</f>
            </numRef>
          </cat>
          <val>
            <numRef>
              <f>'Por Projeto'!$F$2:$F$4</f>
            </numRef>
          </val>
        </ser>
        <ser>
          <idx val="5"/>
          <order val="5"/>
          <tx>
            <strRef>
              <f>'Por Projeto'!G1</f>
            </strRef>
          </tx>
          <spPr>
            <a:ln>
              <a:prstDash val="solid"/>
            </a:ln>
          </spPr>
          <cat>
            <numRef>
              <f>'Por Projeto'!$A$2:$A$4</f>
            </numRef>
          </cat>
          <val>
            <numRef>
              <f>'Por Projeto'!$G$2:$G$4</f>
            </numRef>
          </val>
        </ser>
        <ser>
          <idx val="6"/>
          <order val="6"/>
          <tx>
            <strRef>
              <f>'Por Projeto'!H1</f>
            </strRef>
          </tx>
          <spPr>
            <a:ln>
              <a:prstDash val="solid"/>
            </a:ln>
          </spPr>
          <cat>
            <numRef>
              <f>'Por Projeto'!$A$2:$A$4</f>
            </numRef>
          </cat>
          <val>
            <numRef>
              <f>'Por Projeto'!$H$2:$H$4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Data Prevista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Valor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Acumulado por Data Prevista</a:t>
            </a:r>
          </a:p>
        </rich>
      </tx>
    </title>
    <plotArea>
      <lineChart>
        <grouping val="standard"/>
        <ser>
          <idx val="0"/>
          <order val="0"/>
          <tx>
            <strRef>
              <f>'Acumulado'!B1</f>
            </strRef>
          </tx>
          <spPr>
            <a:ln w="20000"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'Acumulado'!$A$2:$A$4</f>
            </numRef>
          </cat>
          <val>
            <numRef>
              <f>'Acumulado'!$B$2:$B$4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Data Prevista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Valor Acumulado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Prevista</t>
        </is>
      </c>
      <c r="B1" t="inlineStr">
        <is>
          <t>Projeto</t>
        </is>
      </c>
      <c r="C1" t="inlineStr">
        <is>
          <t>Fornecedor</t>
        </is>
      </c>
      <c r="D1" t="inlineStr">
        <is>
          <t>Coordenador</t>
        </is>
      </c>
      <c r="E1" t="inlineStr">
        <is>
          <t>Valor Previsto</t>
        </is>
      </c>
      <c r="F1" t="inlineStr">
        <is>
          <t>Data Pagamento</t>
        </is>
      </c>
      <c r="G1" t="inlineStr">
        <is>
          <t>Valor Pago</t>
        </is>
      </c>
    </row>
    <row r="2">
      <c r="A2" t="inlineStr">
        <is>
          <t>29/09/2025</t>
        </is>
      </c>
      <c r="B2" t="inlineStr">
        <is>
          <t>HBR308-24</t>
        </is>
      </c>
      <c r="C2" t="inlineStr">
        <is>
          <t>INTERPLAN PLANEJAMENTO E DESENVOLVIMENTO URBANO</t>
        </is>
      </c>
      <c r="D2" t="inlineStr">
        <is>
          <t>rafaela.amaral</t>
        </is>
      </c>
      <c r="E2" t="n">
        <v>40500</v>
      </c>
      <c r="F2" t="inlineStr">
        <is>
          <t>24/11/2025</t>
        </is>
      </c>
      <c r="G2" t="n">
        <v>0</v>
      </c>
    </row>
    <row r="3">
      <c r="A3" t="inlineStr">
        <is>
          <t>27/10/2025</t>
        </is>
      </c>
      <c r="B3" t="inlineStr">
        <is>
          <t>HBR046-23DI02-ITA</t>
        </is>
      </c>
      <c r="C3" t="inlineStr">
        <is>
          <t>BIOAGRI LABORATÓRIOS LTDA</t>
        </is>
      </c>
      <c r="D3" t="inlineStr">
        <is>
          <t>larissa.silveira</t>
        </is>
      </c>
      <c r="E3" t="n">
        <v>883.5</v>
      </c>
      <c r="F3" t="inlineStr">
        <is>
          <t>24/11/2025</t>
        </is>
      </c>
      <c r="G3" t="n">
        <v>0</v>
      </c>
    </row>
    <row r="4">
      <c r="A4" t="inlineStr">
        <is>
          <t>27/10/2025</t>
        </is>
      </c>
      <c r="B4" t="inlineStr">
        <is>
          <t>HBR046-23DI02-MIR</t>
        </is>
      </c>
      <c r="C4" t="inlineStr">
        <is>
          <t>BIOAGRI LABORATÓRIOS LTDA</t>
        </is>
      </c>
      <c r="D4" t="inlineStr">
        <is>
          <t>larissa.silveira</t>
        </is>
      </c>
      <c r="E4" t="n">
        <v>589</v>
      </c>
      <c r="F4" t="inlineStr">
        <is>
          <t>24/11/2025</t>
        </is>
      </c>
      <c r="G4" t="n">
        <v>0</v>
      </c>
    </row>
    <row r="5">
      <c r="A5" t="inlineStr">
        <is>
          <t>24/11/2025</t>
        </is>
      </c>
      <c r="B5" t="inlineStr">
        <is>
          <t>HBR110-20PT38</t>
        </is>
      </c>
      <c r="C5" t="inlineStr">
        <is>
          <t>SUPER RENT A CAR LTDA</t>
        </is>
      </c>
      <c r="D5" t="inlineStr">
        <is>
          <t>esio.paes</t>
        </is>
      </c>
      <c r="E5" t="n">
        <v>7616</v>
      </c>
      <c r="F5" t="inlineStr"/>
      <c r="G5" t="n">
        <v>0</v>
      </c>
    </row>
    <row r="6">
      <c r="A6" t="inlineStr">
        <is>
          <t>24/11/2025</t>
        </is>
      </c>
      <c r="B6" t="inlineStr">
        <is>
          <t>HBR110-20PT38</t>
        </is>
      </c>
      <c r="C6" t="inlineStr">
        <is>
          <t>ALDA DE SOUSA SANTOS</t>
        </is>
      </c>
      <c r="D6" t="inlineStr">
        <is>
          <t>esio.paes</t>
        </is>
      </c>
      <c r="E6" t="n">
        <v>750</v>
      </c>
      <c r="F6" t="inlineStr"/>
      <c r="G6" t="n">
        <v>0</v>
      </c>
    </row>
    <row r="7">
      <c r="A7" t="inlineStr">
        <is>
          <t>24/11/2025</t>
        </is>
      </c>
      <c r="B7" t="inlineStr">
        <is>
          <t>HBR110-20PT38</t>
        </is>
      </c>
      <c r="C7" t="inlineStr">
        <is>
          <t>PONTUAL LOC CAR LTDA</t>
        </is>
      </c>
      <c r="D7" t="inlineStr">
        <is>
          <t>esio.paes</t>
        </is>
      </c>
      <c r="E7" t="n">
        <v>8490</v>
      </c>
      <c r="F7" t="inlineStr"/>
      <c r="G7" t="n">
        <v>0</v>
      </c>
    </row>
    <row r="8">
      <c r="A8" t="inlineStr">
        <is>
          <t>24/11/2025</t>
        </is>
      </c>
      <c r="B8" t="inlineStr">
        <is>
          <t>HBR230-23</t>
        </is>
      </c>
      <c r="C8" t="inlineStr">
        <is>
          <t>FABIO IGO LEITE PEREIRA</t>
        </is>
      </c>
      <c r="D8" t="inlineStr">
        <is>
          <t>rafaela.amaral</t>
        </is>
      </c>
      <c r="E8" t="n">
        <v>2500</v>
      </c>
      <c r="F8" t="inlineStr"/>
      <c r="G8" t="n">
        <v>0</v>
      </c>
    </row>
    <row r="9">
      <c r="A9" t="inlineStr">
        <is>
          <t>24/11/2025</t>
        </is>
      </c>
      <c r="B9" t="inlineStr">
        <is>
          <t>HBR230-23</t>
        </is>
      </c>
      <c r="C9" t="inlineStr">
        <is>
          <t>JUNIO FILIPE MARTINS COSTA</t>
        </is>
      </c>
      <c r="D9" t="inlineStr">
        <is>
          <t>rafaela.amaral</t>
        </is>
      </c>
      <c r="E9" t="n">
        <v>4000</v>
      </c>
      <c r="F9" t="inlineStr"/>
      <c r="G9" t="n">
        <v>0</v>
      </c>
    </row>
    <row r="10">
      <c r="A10" t="inlineStr">
        <is>
          <t>24/11/2025</t>
        </is>
      </c>
      <c r="B10" t="inlineStr">
        <is>
          <t>HBR230-23</t>
        </is>
      </c>
      <c r="C10" t="inlineStr">
        <is>
          <t>PAULO RICARDO BRANDAO</t>
        </is>
      </c>
      <c r="D10" t="inlineStr">
        <is>
          <t>rafaela.amaral</t>
        </is>
      </c>
      <c r="E10" t="n">
        <v>4000</v>
      </c>
      <c r="F10" t="inlineStr"/>
      <c r="G10" t="n">
        <v>0</v>
      </c>
    </row>
    <row r="11">
      <c r="A11" t="inlineStr">
        <is>
          <t>24/11/2025</t>
        </is>
      </c>
      <c r="B11" t="inlineStr">
        <is>
          <t>HBR230-23</t>
        </is>
      </c>
      <c r="C11" t="inlineStr">
        <is>
          <t>RAFAEL SANTOS CARVALHO</t>
        </is>
      </c>
      <c r="D11" t="inlineStr">
        <is>
          <t>rafaela.amaral</t>
        </is>
      </c>
      <c r="E11" t="n">
        <v>4000</v>
      </c>
      <c r="F11" t="inlineStr"/>
      <c r="G11" t="n">
        <v>0</v>
      </c>
    </row>
    <row r="12">
      <c r="A12" t="inlineStr">
        <is>
          <t>24/11/2025</t>
        </is>
      </c>
      <c r="B12" t="inlineStr">
        <is>
          <t>HBR230-23</t>
        </is>
      </c>
      <c r="C12" t="inlineStr">
        <is>
          <t>CLEBER DE SOUZA BONFIM</t>
        </is>
      </c>
      <c r="D12" t="inlineStr">
        <is>
          <t>rafaela.amaral</t>
        </is>
      </c>
      <c r="E12" t="n">
        <v>4000</v>
      </c>
      <c r="F12" t="inlineStr"/>
      <c r="G12" t="n">
        <v>0</v>
      </c>
    </row>
    <row r="13">
      <c r="A13" t="inlineStr">
        <is>
          <t>24/11/2025</t>
        </is>
      </c>
      <c r="B13" t="inlineStr">
        <is>
          <t>HBR171-24</t>
        </is>
      </c>
      <c r="C13" t="inlineStr">
        <is>
          <t>MATHEUS DE LIMA GUEDES</t>
        </is>
      </c>
      <c r="D13" t="inlineStr">
        <is>
          <t>esio.paes</t>
        </is>
      </c>
      <c r="E13" t="n">
        <v>17000</v>
      </c>
      <c r="F13" t="inlineStr">
        <is>
          <t>24/11/2025</t>
        </is>
      </c>
      <c r="G13" t="n">
        <v>0</v>
      </c>
    </row>
    <row r="14">
      <c r="A14" t="inlineStr">
        <is>
          <t>24/11/2025</t>
        </is>
      </c>
      <c r="B14" t="inlineStr">
        <is>
          <t>HBR171-24</t>
        </is>
      </c>
      <c r="C14" t="inlineStr">
        <is>
          <t>JOAO MATHEUS VIEIRA SALES</t>
        </is>
      </c>
      <c r="D14" t="inlineStr">
        <is>
          <t>esio.paes</t>
        </is>
      </c>
      <c r="E14" t="n">
        <v>25000</v>
      </c>
      <c r="F14" t="inlineStr">
        <is>
          <t>24/11/2025</t>
        </is>
      </c>
      <c r="G14" t="n">
        <v>0</v>
      </c>
    </row>
    <row r="15">
      <c r="A15" t="inlineStr">
        <is>
          <t>24/11/2025</t>
        </is>
      </c>
      <c r="B15" t="inlineStr">
        <is>
          <t>HBR110-20PT38</t>
        </is>
      </c>
      <c r="C15" t="inlineStr">
        <is>
          <t>SONDAGEM SP SERVICOS TECNICOS NA AREA AMBIENTAL LTDA</t>
        </is>
      </c>
      <c r="D15" t="inlineStr">
        <is>
          <t>esio.paes</t>
        </is>
      </c>
      <c r="E15" t="n">
        <v>75491</v>
      </c>
      <c r="F15" t="inlineStr">
        <is>
          <t>24/11/2025</t>
        </is>
      </c>
      <c r="G15" t="n">
        <v>0</v>
      </c>
    </row>
    <row r="16">
      <c r="A16" t="inlineStr">
        <is>
          <t>24/11/2025</t>
        </is>
      </c>
      <c r="B16" t="inlineStr">
        <is>
          <t>HBR224-23</t>
        </is>
      </c>
      <c r="C16" t="inlineStr">
        <is>
          <t>SINTEZIS ANALISES E TECNOLOGIA AMBIENTAL LTDA</t>
        </is>
      </c>
      <c r="D16" t="inlineStr">
        <is>
          <t>larissa.silveira</t>
        </is>
      </c>
      <c r="E16" t="n">
        <v>61624.68</v>
      </c>
      <c r="F16" t="inlineStr">
        <is>
          <t>24/11/2025</t>
        </is>
      </c>
      <c r="G16" t="n">
        <v>0</v>
      </c>
    </row>
    <row r="17">
      <c r="A17" t="inlineStr">
        <is>
          <t>24/11/2025</t>
        </is>
      </c>
      <c r="B17" t="inlineStr">
        <is>
          <t>HBR046-23DI02-ITA</t>
        </is>
      </c>
      <c r="C17" t="inlineStr">
        <is>
          <t>BIOAGRI LABORATÓRIOS LTDA</t>
        </is>
      </c>
      <c r="D17" t="inlineStr">
        <is>
          <t>larissa.silveira</t>
        </is>
      </c>
      <c r="E17" t="n">
        <v>1111.5</v>
      </c>
      <c r="F17" t="inlineStr">
        <is>
          <t>22/12/2025</t>
        </is>
      </c>
      <c r="G17" t="n">
        <v>0</v>
      </c>
    </row>
    <row r="18">
      <c r="A18" t="inlineStr">
        <is>
          <t>24/11/2025</t>
        </is>
      </c>
      <c r="B18" t="inlineStr">
        <is>
          <t>HBR046-23DI02-MIR</t>
        </is>
      </c>
      <c r="C18" t="inlineStr">
        <is>
          <t>BIOAGRI LABORATÓRIOS LTDA</t>
        </is>
      </c>
      <c r="D18" t="inlineStr">
        <is>
          <t>larissa.silveira</t>
        </is>
      </c>
      <c r="E18" t="n">
        <v>741</v>
      </c>
      <c r="F18" t="inlineStr">
        <is>
          <t>22/12/2025</t>
        </is>
      </c>
      <c r="G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Prevista</t>
        </is>
      </c>
      <c r="B1" t="inlineStr">
        <is>
          <t>esio.paes</t>
        </is>
      </c>
      <c r="C1" t="inlineStr">
        <is>
          <t>rafaela.amaral</t>
        </is>
      </c>
      <c r="D1" t="inlineStr">
        <is>
          <t>larissa.silveira</t>
        </is>
      </c>
    </row>
    <row r="2">
      <c r="A2" t="inlineStr">
        <is>
          <t>29/09/2025</t>
        </is>
      </c>
      <c r="B2" t="n">
        <v>0</v>
      </c>
      <c r="C2" t="n">
        <v>40500</v>
      </c>
      <c r="D2" t="n">
        <v>0</v>
      </c>
    </row>
    <row r="3">
      <c r="A3" t="inlineStr">
        <is>
          <t>27/10/2025</t>
        </is>
      </c>
      <c r="B3" t="n">
        <v>0</v>
      </c>
      <c r="C3" t="n">
        <v>0</v>
      </c>
      <c r="D3" t="n">
        <v>1472.5</v>
      </c>
    </row>
    <row r="4">
      <c r="A4" t="inlineStr">
        <is>
          <t>24/11/2025</t>
        </is>
      </c>
      <c r="B4" t="n">
        <v>134347</v>
      </c>
      <c r="C4" t="n">
        <v>18500</v>
      </c>
      <c r="D4" t="n">
        <v>63477.18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Prevista</t>
        </is>
      </c>
      <c r="B1" t="inlineStr">
        <is>
          <t>HBR224-23</t>
        </is>
      </c>
      <c r="C1" t="inlineStr">
        <is>
          <t>HBR308-24</t>
        </is>
      </c>
      <c r="D1" t="inlineStr">
        <is>
          <t>HBR046-23DI02-ITA</t>
        </is>
      </c>
      <c r="E1" t="inlineStr">
        <is>
          <t>HBR171-24</t>
        </is>
      </c>
      <c r="F1" t="inlineStr">
        <is>
          <t>HBR230-23</t>
        </is>
      </c>
      <c r="G1" t="inlineStr">
        <is>
          <t>HBR110-20PT38</t>
        </is>
      </c>
      <c r="H1" t="inlineStr">
        <is>
          <t>HBR046-23DI02-MIR</t>
        </is>
      </c>
    </row>
    <row r="2">
      <c r="A2" t="inlineStr">
        <is>
          <t>29/09/2025</t>
        </is>
      </c>
      <c r="B2" t="n">
        <v>0</v>
      </c>
      <c r="C2" t="n">
        <v>40500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27/10/2025</t>
        </is>
      </c>
      <c r="B3" t="n">
        <v>0</v>
      </c>
      <c r="C3" t="n">
        <v>0</v>
      </c>
      <c r="D3" t="n">
        <v>883.5</v>
      </c>
      <c r="E3" t="n">
        <v>0</v>
      </c>
      <c r="F3" t="n">
        <v>0</v>
      </c>
      <c r="G3" t="n">
        <v>0</v>
      </c>
      <c r="H3" t="n">
        <v>589</v>
      </c>
    </row>
    <row r="4">
      <c r="A4" t="inlineStr">
        <is>
          <t>24/11/2025</t>
        </is>
      </c>
      <c r="B4" t="n">
        <v>61624.68</v>
      </c>
      <c r="C4" t="n">
        <v>0</v>
      </c>
      <c r="D4" t="n">
        <v>1111.5</v>
      </c>
      <c r="E4" t="n">
        <v>42000</v>
      </c>
      <c r="F4" t="n">
        <v>18500</v>
      </c>
      <c r="G4" t="n">
        <v>92347</v>
      </c>
      <c r="H4" t="n">
        <v>741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Prevista</t>
        </is>
      </c>
      <c r="B1" t="inlineStr">
        <is>
          <t>Acumulado (R$)</t>
        </is>
      </c>
    </row>
    <row r="2">
      <c r="A2" t="inlineStr">
        <is>
          <t>29/09/2025</t>
        </is>
      </c>
      <c r="B2" t="n">
        <v>40500</v>
      </c>
    </row>
    <row r="3">
      <c r="A3" t="inlineStr">
        <is>
          <t>27/10/2025</t>
        </is>
      </c>
      <c r="B3" t="n">
        <v>41972.5</v>
      </c>
    </row>
    <row r="4">
      <c r="A4" t="inlineStr">
        <is>
          <t>24/11/2025</t>
        </is>
      </c>
      <c r="B4" t="n">
        <v>258296.68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2025-11-14T14:51:04Z</dcterms:created>
  <dcterms:modified xsi:type="dcterms:W3CDTF">2025-11-14T14:51:04Z</dcterms:modified>
</cp:coreProperties>
</file>